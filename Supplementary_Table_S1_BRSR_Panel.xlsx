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 panel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  <col width="48" customWidth="1" min="10" max="10"/>
    <col width="44" customWidth="1" min="11" max="11"/>
    <col width="56" customWidth="1" min="12" max="12"/>
    <col width="11" customWidth="1" min="13" max="13"/>
    <col width="11" customWidth="1" min="14" max="14"/>
  </cols>
  <sheetData>
    <row r="1">
      <c r="A1" s="1" t="inlineStr">
        <is>
          <t>Company</t>
        </is>
      </c>
      <c r="B1" s="1" t="inlineStr">
        <is>
          <t>Macro-sector</t>
        </is>
      </c>
      <c r="C1" s="1" t="inlineStr">
        <is>
          <t>Scope 1 current (tCO2e)</t>
        </is>
      </c>
      <c r="D1" s="1" t="inlineStr">
        <is>
          <t>Scope 1 previous</t>
        </is>
      </c>
      <c r="E1" s="1" t="inlineStr">
        <is>
          <t>Scope 2 current</t>
        </is>
      </c>
      <c r="F1" s="1" t="inlineStr">
        <is>
          <t>Scope 2 previous</t>
        </is>
      </c>
      <c r="G1" s="1" t="inlineStr">
        <is>
          <t>Scope 1+2 current (tCO2e)</t>
        </is>
      </c>
      <c r="H1" s="1" t="inlineStr">
        <is>
          <t>Scope 1+2 previous</t>
        </is>
      </c>
      <c r="I1" s="1" t="inlineStr">
        <is>
          <t>Panel</t>
        </is>
      </c>
      <c r="J1" s="1" t="inlineStr">
        <is>
          <t>Source file / URL</t>
        </is>
      </c>
      <c r="K1" s="1" t="inlineStr">
        <is>
          <t>Location in filing (as recorded)</t>
        </is>
      </c>
      <c r="L1" s="1" t="inlineStr">
        <is>
          <t>Note</t>
        </is>
      </c>
      <c r="M1" s="1" t="inlineStr">
        <is>
          <t>log10 level</t>
        </is>
      </c>
      <c r="N1" s="1" t="inlineStr">
        <is>
          <t>YoY log change</t>
        </is>
      </c>
    </row>
    <row r="2">
      <c r="A2" s="2" t="inlineStr">
        <is>
          <t>Adani Ports and SEZ Ltd.</t>
        </is>
      </c>
      <c r="B2" s="2" t="inlineStr">
        <is>
          <t>Industrials &amp; Logistics</t>
        </is>
      </c>
      <c r="C2" s="3" t="n"/>
      <c r="D2" s="3" t="n"/>
      <c r="E2" s="3" t="n"/>
      <c r="F2" s="3" t="n"/>
      <c r="G2" s="3" t="n">
        <v>469625</v>
      </c>
      <c r="H2" s="3" t="n">
        <v>383053</v>
      </c>
      <c r="I2" s="2" t="inlineStr">
        <is>
          <t>pilot (38)</t>
        </is>
      </c>
      <c r="J2" s="2" t="inlineStr">
        <is>
          <t>uploaded PDF (Adani Ports Annual Report FY2023-24)</t>
        </is>
      </c>
      <c r="K2" s="2" t="inlineStr">
        <is>
          <t>BRSR Principle 6 Essential Indicators (GHG table)</t>
        </is>
      </c>
      <c r="L2" s="2" t="inlineStr"/>
      <c r="M2" s="4">
        <f>IF(AND(ISNUMBER(G2),G2&gt;0),LOG10(G2),"")</f>
        <v/>
      </c>
      <c r="N2" s="4">
        <f>IF(AND(ISNUMBER(G2),ISNUMBER(H2),G2&gt;0,H2&gt;0),LN(G2/H2),"")</f>
        <v/>
      </c>
    </row>
    <row r="3">
      <c r="A3" s="2" t="inlineStr">
        <is>
          <t>Bharti Airtel Ltd.</t>
        </is>
      </c>
      <c r="B3" s="2" t="inlineStr">
        <is>
          <t>Technology &amp; Telecom</t>
        </is>
      </c>
      <c r="C3" s="3" t="n"/>
      <c r="D3" s="3" t="n"/>
      <c r="E3" s="3" t="n"/>
      <c r="F3" s="3" t="n"/>
      <c r="G3" s="3" t="n">
        <v>1111205</v>
      </c>
      <c r="H3" s="3" t="n">
        <v>1066045</v>
      </c>
      <c r="I3" s="2" t="inlineStr">
        <is>
          <t>pilot (38)</t>
        </is>
      </c>
      <c r="J3" s="2" t="inlineStr">
        <is>
          <t>uploaded PDF (Bharti Airtel Annual Report FY2023-24)</t>
        </is>
      </c>
      <c r="K3" s="2" t="inlineStr">
        <is>
          <t>BRSR Principle 6 Essential Indicators (GHG table); Net Zero commitment section</t>
        </is>
      </c>
      <c r="L3" s="2" t="inlineStr"/>
      <c r="M3" s="4">
        <f>IF(AND(ISNUMBER(G3),G3&gt;0),LOG10(G3),"")</f>
        <v/>
      </c>
      <c r="N3" s="4">
        <f>IF(AND(ISNUMBER(G3),ISNUMBER(H3),G3&gt;0,H3&gt;0),LN(G3/H3),"")</f>
        <v/>
      </c>
    </row>
    <row r="4">
      <c r="A4" s="2" t="inlineStr">
        <is>
          <t>Britannia Industries Ltd.</t>
        </is>
      </c>
      <c r="B4" s="2" t="inlineStr">
        <is>
          <t>Consumer</t>
        </is>
      </c>
      <c r="C4" s="3" t="n"/>
      <c r="D4" s="3" t="n"/>
      <c r="E4" s="3" t="n"/>
      <c r="F4" s="3" t="n"/>
      <c r="G4" s="3" t="n"/>
      <c r="H4" s="3" t="n"/>
      <c r="I4" s="2" t="inlineStr">
        <is>
          <t>pilot (38)</t>
        </is>
      </c>
      <c r="J4" s="2" t="inlineStr">
        <is>
          <t>nsearchives.nseindia.com/corporate/BRITANNIA1_19072024002136_BRSR_Signed.pdf</t>
        </is>
      </c>
      <c r="K4" s="2" t="inlineStr">
        <is>
          <t>p.100 (target/actual); p.91 (boundary, assurance)</t>
        </is>
      </c>
      <c r="L4" s="2" t="inlineStr"/>
      <c r="M4" s="4">
        <f>IF(AND(ISNUMBER(G4),G4&gt;0),LOG10(G4),"")</f>
        <v/>
      </c>
      <c r="N4" s="4">
        <f>IF(AND(ISNUMBER(G4),ISNUMBER(H4),G4&gt;0,H4&gt;0),LN(G4/H4),"")</f>
        <v/>
      </c>
    </row>
    <row r="5">
      <c r="A5" s="2" t="inlineStr">
        <is>
          <t>CG Power and Industrial Solutions Ltd.</t>
        </is>
      </c>
      <c r="B5" s="2" t="inlineStr">
        <is>
          <t>Industrials &amp; Logistics</t>
        </is>
      </c>
      <c r="C5" s="3" t="n"/>
      <c r="D5" s="3" t="n"/>
      <c r="E5" s="3" t="n"/>
      <c r="F5" s="3" t="n"/>
      <c r="G5" s="3" t="n">
        <v>29498</v>
      </c>
      <c r="H5" s="3" t="n">
        <v>26900</v>
      </c>
      <c r="I5" s="2" t="inlineStr">
        <is>
          <t>pilot (38)</t>
        </is>
      </c>
      <c r="J5" s="2" t="inlineStr">
        <is>
          <t>uploaded PDF (CG Power and Industrial Solutions Ltd. BRSR FY2023-24, signed disclosure)</t>
        </is>
      </c>
      <c r="K5" s="2" t="inlineStr">
        <is>
          <t>CG Power BRSR FY2023-24, GHG emissions table</t>
        </is>
      </c>
      <c r="L5" s="2" t="inlineStr"/>
      <c r="M5" s="4">
        <f>IF(AND(ISNUMBER(G5),G5&gt;0),LOG10(G5),"")</f>
        <v/>
      </c>
      <c r="N5" s="4">
        <f>IF(AND(ISNUMBER(G5),ISNUMBER(H5),G5&gt;0,H5&gt;0),LN(G5/H5),"")</f>
        <v/>
      </c>
    </row>
    <row r="6">
      <c r="A6" s="2" t="inlineStr">
        <is>
          <t>Cipla Ltd.</t>
        </is>
      </c>
      <c r="B6" s="2" t="inlineStr">
        <is>
          <t>Healthcare &amp; Pharma</t>
        </is>
      </c>
      <c r="C6" s="3" t="n"/>
      <c r="D6" s="3" t="n"/>
      <c r="E6" s="3" t="n"/>
      <c r="F6" s="3" t="n"/>
      <c r="G6" s="3" t="n">
        <v>942318</v>
      </c>
      <c r="H6" s="3" t="n">
        <v>842634</v>
      </c>
      <c r="I6" s="2" t="inlineStr">
        <is>
          <t>pilot (38)</t>
        </is>
      </c>
      <c r="J6" s="2" t="inlineStr">
        <is>
          <t>nsearchives.nseindia.com/corporate/CIPLA_26072024212700_CiplaBRSRFY202324signed.pdf</t>
        </is>
      </c>
      <c r="K6" s="2" t="inlineStr">
        <is>
          <t>p.170 (ISO 14001, assurance); p.179 (ZLD, GHG table)</t>
        </is>
      </c>
      <c r="L6" s="2" t="inlineStr"/>
      <c r="M6" s="4">
        <f>IF(AND(ISNUMBER(G6),G6&gt;0),LOG10(G6),"")</f>
        <v/>
      </c>
      <c r="N6" s="4">
        <f>IF(AND(ISNUMBER(G6),ISNUMBER(H6),G6&gt;0,H6&gt;0),LN(G6/H6),"")</f>
        <v/>
      </c>
    </row>
    <row r="7">
      <c r="A7" s="2" t="inlineStr">
        <is>
          <t>Coal India Ltd.</t>
        </is>
      </c>
      <c r="B7" s="2" t="inlineStr">
        <is>
          <t>Energy &amp; Utilities</t>
        </is>
      </c>
      <c r="C7" s="3" t="n"/>
      <c r="D7" s="3" t="n"/>
      <c r="E7" s="3" t="n"/>
      <c r="F7" s="3" t="n"/>
      <c r="G7" s="3" t="n">
        <v>34666203</v>
      </c>
      <c r="H7" s="3" t="n">
        <v>31502250</v>
      </c>
      <c r="I7" s="2" t="inlineStr">
        <is>
          <t>pilot (38)</t>
        </is>
      </c>
      <c r="J7" s="2" t="inlineStr">
        <is>
          <t>uploaded PDF (Coal India BRSR FY2023-24, filed 26.07.2024)</t>
        </is>
      </c>
      <c r="K7" s="2" t="inlineStr">
        <is>
          <t>BRSR Principle 6, Essential Indicators Q1 (energy) and Q7 (GHG)</t>
        </is>
      </c>
      <c r="L7" s="2" t="inlineStr"/>
      <c r="M7" s="4">
        <f>IF(AND(ISNUMBER(G7),G7&gt;0),LOG10(G7),"")</f>
        <v/>
      </c>
      <c r="N7" s="4">
        <f>IF(AND(ISNUMBER(G7),ISNUMBER(H7),G7&gt;0,H7&gt;0),LN(G7/H7),"")</f>
        <v/>
      </c>
    </row>
    <row r="8">
      <c r="A8" s="2" t="inlineStr">
        <is>
          <t>Dr. Reddy's Laboratories Ltd.</t>
        </is>
      </c>
      <c r="B8" s="2" t="inlineStr">
        <is>
          <t>Healthcare &amp; Pharma</t>
        </is>
      </c>
      <c r="C8" s="3" t="n"/>
      <c r="D8" s="3" t="n"/>
      <c r="E8" s="3" t="n"/>
      <c r="F8" s="3" t="n"/>
      <c r="G8" s="3" t="n"/>
      <c r="H8" s="3" t="n"/>
      <c r="I8" s="2" t="inlineStr">
        <is>
          <t>pilot (38)</t>
        </is>
      </c>
      <c r="J8" s="2" t="inlineStr">
        <is>
          <t>https://www.drreddys.com/cms/cms/sites/default/files/2024-07/Dr.%20Reddy's%20-%20BRSR%202023-24.pdf</t>
        </is>
      </c>
      <c r="K8" s="2" t="inlineStr">
        <is>
          <t>p.125 (target); p.110 (YoY progress); p.113 (boundary); p.108 (assurance)</t>
        </is>
      </c>
      <c r="L8" s="2" t="inlineStr"/>
      <c r="M8" s="4">
        <f>IF(AND(ISNUMBER(G8),G8&gt;0),LOG10(G8),"")</f>
        <v/>
      </c>
      <c r="N8" s="4">
        <f>IF(AND(ISNUMBER(G8),ISNUMBER(H8),G8&gt;0,H8&gt;0),LN(G8/H8),"")</f>
        <v/>
      </c>
    </row>
    <row r="9">
      <c r="A9" s="2" t="inlineStr">
        <is>
          <t>Godrej Consumer Products Ltd.</t>
        </is>
      </c>
      <c r="B9" s="2" t="inlineStr">
        <is>
          <t>Consumer</t>
        </is>
      </c>
      <c r="C9" s="3" t="n"/>
      <c r="D9" s="3" t="n"/>
      <c r="E9" s="3" t="n"/>
      <c r="F9" s="3" t="n"/>
      <c r="G9" s="3" t="n"/>
      <c r="H9" s="3" t="n"/>
      <c r="I9" s="2" t="inlineStr">
        <is>
          <t>pilot (38)</t>
        </is>
      </c>
      <c r="J9" s="2" t="inlineStr">
        <is>
          <t>https://nsearchives.nseindia.com/corporate/GODREJCP_16072025184153_SE_BRSR_2024-25_Signed.pdf</t>
        </is>
      </c>
      <c r="K9" s="2" t="inlineStr">
        <is>
          <t>p.307 (target/actual, now resolved from 'page not confirmed' in the original row); p.298 (boundary); p.286-291 (assurance)</t>
        </is>
      </c>
      <c r="L9" s="2" t="inlineStr"/>
      <c r="M9" s="4">
        <f>IF(AND(ISNUMBER(G9),G9&gt;0),LOG10(G9),"")</f>
        <v/>
      </c>
      <c r="N9" s="4">
        <f>IF(AND(ISNUMBER(G9),ISNUMBER(H9),G9&gt;0,H9&gt;0),LN(G9/H9),"")</f>
        <v/>
      </c>
    </row>
    <row r="10">
      <c r="A10" s="2" t="inlineStr">
        <is>
          <t>Gokul Agro Resources Ltd.</t>
        </is>
      </c>
      <c r="B10" s="2" t="inlineStr">
        <is>
          <t>Materials</t>
        </is>
      </c>
      <c r="C10" s="3" t="n"/>
      <c r="D10" s="3" t="n"/>
      <c r="E10" s="3" t="n"/>
      <c r="F10" s="3" t="n"/>
      <c r="G10" s="3" t="n">
        <v>204108.54</v>
      </c>
      <c r="H10" s="3" t="n">
        <v>208203.99</v>
      </c>
      <c r="I10" s="2" t="inlineStr">
        <is>
          <t>pilot (38)</t>
        </is>
      </c>
      <c r="J10" s="2" t="inlineStr">
        <is>
          <t>nsearchives.nseindia.com/corporate/GOKULAGRO_09082024234300_BRSR.pdf</t>
        </is>
      </c>
      <c r="K10" s="2" t="inlineStr">
        <is>
          <t>p.117 (GHG table); p.99 (claim); p.95 (boundary, assurance)</t>
        </is>
      </c>
      <c r="L10" s="2" t="inlineStr"/>
      <c r="M10" s="4">
        <f>IF(AND(ISNUMBER(G10),G10&gt;0),LOG10(G10),"")</f>
        <v/>
      </c>
      <c r="N10" s="4">
        <f>IF(AND(ISNUMBER(G10),ISNUMBER(H10),G10&gt;0,H10&gt;0),LN(G10/H10),"")</f>
        <v/>
      </c>
    </row>
    <row r="11">
      <c r="A11" s="2" t="inlineStr">
        <is>
          <t>HCL Technologies Ltd.</t>
        </is>
      </c>
      <c r="B11" s="2" t="inlineStr">
        <is>
          <t>Technology &amp; Telecom</t>
        </is>
      </c>
      <c r="C11" s="3" t="n"/>
      <c r="D11" s="3" t="n"/>
      <c r="E11" s="3" t="n"/>
      <c r="F11" s="3" t="n"/>
      <c r="G11" s="3" t="n">
        <v>98949.02</v>
      </c>
      <c r="H11" s="3" t="n">
        <v>121974.52</v>
      </c>
      <c r="I11" s="2" t="inlineStr">
        <is>
          <t>pilot (38)</t>
        </is>
      </c>
      <c r="J11" s="2" t="inlineStr">
        <is>
          <t>uploaded PDF (HCLTech BRSR / Integrated Annual Report 2025-26, FY26)</t>
        </is>
      </c>
      <c r="K11" s="2" t="inlineStr">
        <is>
          <t>p.219 (material issues table); BRSR Principle 6 Essential Indicators (energy p.~261, GHG p.~262); goals/targets section</t>
        </is>
      </c>
      <c r="L11" s="2" t="inlineStr"/>
      <c r="M11" s="4">
        <f>IF(AND(ISNUMBER(G11),G11&gt;0),LOG10(G11),"")</f>
        <v/>
      </c>
      <c r="N11" s="4">
        <f>IF(AND(ISNUMBER(G11),ISNUMBER(H11),G11&gt;0,H11&gt;0),LN(G11/H11),"")</f>
        <v/>
      </c>
    </row>
    <row r="12">
      <c r="A12" s="2" t="inlineStr">
        <is>
          <t>HDFC Bank Ltd.</t>
        </is>
      </c>
      <c r="B12" s="2" t="inlineStr">
        <is>
          <t>Financials</t>
        </is>
      </c>
      <c r="C12" s="3" t="n"/>
      <c r="D12" s="3" t="n"/>
      <c r="E12" s="3" t="n"/>
      <c r="F12" s="3" t="n"/>
      <c r="G12" s="3" t="n">
        <v>590000</v>
      </c>
      <c r="H12" s="3" t="n">
        <v>340000</v>
      </c>
      <c r="I12" s="2" t="inlineStr">
        <is>
          <t>pilot (38)</t>
        </is>
      </c>
      <c r="J12" s="2" t="inlineStr">
        <is>
          <t>uploaded PDF (HDFC Bank Integrated Annual Report FY2023-24)</t>
        </is>
      </c>
      <c r="K12" s="2" t="inlineStr">
        <is>
          <t>Environment section, GHG Emissions multi-year chart</t>
        </is>
      </c>
      <c r="L12" s="2" t="inlineStr"/>
      <c r="M12" s="4">
        <f>IF(AND(ISNUMBER(G12),G12&gt;0),LOG10(G12),"")</f>
        <v/>
      </c>
      <c r="N12" s="4">
        <f>IF(AND(ISNUMBER(G12),ISNUMBER(H12),G12&gt;0,H12&gt;0),LN(G12/H12),"")</f>
        <v/>
      </c>
    </row>
    <row r="13">
      <c r="A13" s="2" t="inlineStr">
        <is>
          <t>HDFC Ltd.</t>
        </is>
      </c>
      <c r="B13" s="2" t="inlineStr">
        <is>
          <t>Financials</t>
        </is>
      </c>
      <c r="C13" s="3" t="n"/>
      <c r="D13" s="3" t="n"/>
      <c r="E13" s="3" t="n"/>
      <c r="F13" s="3" t="n"/>
      <c r="G13" s="3" t="n">
        <v>15884.56</v>
      </c>
      <c r="H13" s="3" t="n">
        <v>14815.46</v>
      </c>
      <c r="I13" s="2" t="inlineStr">
        <is>
          <t>pilot (38)</t>
        </is>
      </c>
      <c r="J13" s="2" t="inlineStr">
        <is>
          <t>uploaded PDF (HDFC Ltd. BRSR FY2022-23)</t>
        </is>
      </c>
      <c r="K13" s="2" t="inlineStr">
        <is>
          <t>BRSR Principle 6, Essential Indicators (GHG table) and Leadership Indicators (energy table)</t>
        </is>
      </c>
      <c r="L13" s="2" t="inlineStr"/>
      <c r="M13" s="4">
        <f>IF(AND(ISNUMBER(G13),G13&gt;0),LOG10(G13),"")</f>
        <v/>
      </c>
      <c r="N13" s="4">
        <f>IF(AND(ISNUMBER(G13),ISNUMBER(H13),G13&gt;0,H13&gt;0),LN(G13/H13),"")</f>
        <v/>
      </c>
    </row>
    <row r="14">
      <c r="A14" s="2" t="inlineStr">
        <is>
          <t>Hindustan Unilever Ltd.</t>
        </is>
      </c>
      <c r="B14" s="2" t="inlineStr">
        <is>
          <t>Consumer</t>
        </is>
      </c>
      <c r="C14" s="3" t="n"/>
      <c r="D14" s="3" t="n"/>
      <c r="E14" s="3" t="n"/>
      <c r="F14" s="3" t="n"/>
      <c r="G14" s="3" t="n">
        <v>234856</v>
      </c>
      <c r="H14" s="3" t="n">
        <v>239815</v>
      </c>
      <c r="I14" s="2" t="inlineStr">
        <is>
          <t>pilot (38)</t>
        </is>
      </c>
      <c r="J14" s="2" t="inlineStr">
        <is>
          <t>uploaded PDF (HUL BRSR FY2023-24)</t>
        </is>
      </c>
      <c r="K14" s="2" t="inlineStr">
        <is>
          <t>BRSR Principle 6 Essential Indicators (GHG table)</t>
        </is>
      </c>
      <c r="L14" s="2" t="inlineStr"/>
      <c r="M14" s="4">
        <f>IF(AND(ISNUMBER(G14),G14&gt;0),LOG10(G14),"")</f>
        <v/>
      </c>
      <c r="N14" s="4">
        <f>IF(AND(ISNUMBER(G14),ISNUMBER(H14),G14&gt;0,H14&gt;0),LN(G14/H14),"")</f>
        <v/>
      </c>
    </row>
    <row r="15">
      <c r="A15" s="2" t="inlineStr">
        <is>
          <t>ICICI Bank Ltd.</t>
        </is>
      </c>
      <c r="B15" s="2" t="inlineStr">
        <is>
          <t>Financials</t>
        </is>
      </c>
      <c r="C15" s="3" t="n"/>
      <c r="D15" s="3" t="n"/>
      <c r="E15" s="3" t="n"/>
      <c r="F15" s="3" t="n"/>
      <c r="G15" s="3" t="n"/>
      <c r="H15" s="3" t="n"/>
      <c r="I15" s="2" t="inlineStr">
        <is>
          <t>pilot (38)</t>
        </is>
      </c>
      <c r="J15" s="2" t="inlineStr">
        <is>
          <t>uploaded PDF (ICICI Bank ESG investor presentation, NSE/BSE filing)</t>
        </is>
      </c>
      <c r="K15" s="2" t="inlineStr">
        <is>
          <t>ESG @ ICICI Bank summary slide</t>
        </is>
      </c>
      <c r="L15" s="2" t="inlineStr"/>
      <c r="M15" s="4">
        <f>IF(AND(ISNUMBER(G15),G15&gt;0),LOG10(G15),"")</f>
        <v/>
      </c>
      <c r="N15" s="4">
        <f>IF(AND(ISNUMBER(G15),ISNUMBER(H15),G15&gt;0,H15&gt;0),LN(G15/H15),"")</f>
        <v/>
      </c>
    </row>
    <row r="16">
      <c r="A16" s="2" t="inlineStr">
        <is>
          <t>ITC Ltd.</t>
        </is>
      </c>
      <c r="B16" s="2" t="inlineStr">
        <is>
          <t>Consumer</t>
        </is>
      </c>
      <c r="C16" s="3" t="n"/>
      <c r="D16" s="3" t="n"/>
      <c r="E16" s="3" t="n"/>
      <c r="F16" s="3" t="n"/>
      <c r="G16" s="3" t="n"/>
      <c r="H16" s="3" t="n"/>
      <c r="I16" s="2" t="inlineStr">
        <is>
          <t>pilot (38)</t>
        </is>
      </c>
      <c r="J16" s="2" t="inlineStr">
        <is>
          <t>nsearchives.nseindia.com/corporate/ITC_27062025151648_SE_BRSR_.pdf</t>
        </is>
      </c>
      <c r="K16" s="2" t="inlineStr">
        <is>
          <t>Principle 2 Leadership Indicators Q4 (exact page number NOT resolved -- source returned a placeholder 'Page XX'); p.III, p.XIV (front matter, boundary/assurance)</t>
        </is>
      </c>
      <c r="L16" s="2" t="inlineStr"/>
      <c r="M16" s="4">
        <f>IF(AND(ISNUMBER(G16),G16&gt;0),LOG10(G16),"")</f>
        <v/>
      </c>
      <c r="N16" s="4">
        <f>IF(AND(ISNUMBER(G16),ISNUMBER(H16),G16&gt;0,H16&gt;0),LN(G16/H16),"")</f>
        <v/>
      </c>
    </row>
    <row r="17">
      <c r="A17" s="2" t="inlineStr">
        <is>
          <t>Indian Oil Corporation Ltd.</t>
        </is>
      </c>
      <c r="B17" s="2" t="inlineStr">
        <is>
          <t>Energy &amp; Utilities</t>
        </is>
      </c>
      <c r="C17" s="3" t="n"/>
      <c r="D17" s="3" t="n"/>
      <c r="E17" s="3" t="n"/>
      <c r="F17" s="3" t="n"/>
      <c r="G17" s="3" t="n">
        <v>22450000</v>
      </c>
      <c r="H17" s="3" t="n">
        <v>20840000</v>
      </c>
      <c r="I17" s="2" t="inlineStr">
        <is>
          <t>pilot (38)</t>
        </is>
      </c>
      <c r="J17" s="2" t="inlineStr">
        <is>
          <t>uploaded PDF (IndianOil BRSR FY2023-24)</t>
        </is>
      </c>
      <c r="K17" s="2" t="inlineStr">
        <is>
          <t>BRSR Principle 6, Essential/Leadership Indicators (GHG and energy tables)</t>
        </is>
      </c>
      <c r="L17" s="2" t="inlineStr"/>
      <c r="M17" s="4">
        <f>IF(AND(ISNUMBER(G17),G17&gt;0),LOG10(G17),"")</f>
        <v/>
      </c>
      <c r="N17" s="4">
        <f>IF(AND(ISNUMBER(G17),ISNUMBER(H17),G17&gt;0,H17&gt;0),LN(G17/H17),"")</f>
        <v/>
      </c>
    </row>
    <row r="18">
      <c r="A18" s="2" t="inlineStr">
        <is>
          <t>Indraprastha Gas Ltd.</t>
        </is>
      </c>
      <c r="B18" s="2" t="inlineStr">
        <is>
          <t>Energy &amp; Utilities</t>
        </is>
      </c>
      <c r="C18" s="3" t="n"/>
      <c r="D18" s="3" t="n"/>
      <c r="E18" s="3" t="n"/>
      <c r="F18" s="3" t="n"/>
      <c r="G18" s="3" t="n">
        <v>1025605</v>
      </c>
      <c r="H18" s="3" t="n">
        <v>850914</v>
      </c>
      <c r="I18" s="2" t="inlineStr">
        <is>
          <t>pilot (38)</t>
        </is>
      </c>
      <c r="J18" s="2" t="inlineStr">
        <is>
          <t>uploaded PDF (Indraprastha Gas Annual Report FY2023-24)</t>
        </is>
      </c>
      <c r="K18" s="2" t="inlineStr">
        <is>
          <t>BRSR Principle 6 Essential Indicators (GHG table)</t>
        </is>
      </c>
      <c r="L18" s="2" t="inlineStr"/>
      <c r="M18" s="4">
        <f>IF(AND(ISNUMBER(G18),G18&gt;0),LOG10(G18),"")</f>
        <v/>
      </c>
      <c r="N18" s="4">
        <f>IF(AND(ISNUMBER(G18),ISNUMBER(H18),G18&gt;0,H18&gt;0),LN(G18/H18),"")</f>
        <v/>
      </c>
    </row>
    <row r="19">
      <c r="A19" s="2" t="inlineStr">
        <is>
          <t>Infosys Ltd.</t>
        </is>
      </c>
      <c r="B19" s="2" t="inlineStr">
        <is>
          <t>Technology &amp; Telecom</t>
        </is>
      </c>
      <c r="C19" s="3" t="n"/>
      <c r="D19" s="3" t="n"/>
      <c r="E19" s="3" t="n"/>
      <c r="F19" s="3" t="n"/>
      <c r="G19" s="3" t="n">
        <v>63031</v>
      </c>
      <c r="H19" s="3" t="n">
        <v>70945</v>
      </c>
      <c r="I19" s="2" t="inlineStr">
        <is>
          <t>pilot (38)</t>
        </is>
      </c>
      <c r="J19" s="2" t="inlineStr">
        <is>
          <t>uploaded PDF (Infosys BRSR/Annual Report FY2023-24)</t>
        </is>
      </c>
      <c r="K19" s="2" t="inlineStr">
        <is>
          <t>BRSR Principle 6 Essential Indicators (GHG table); Carbon neutrality section</t>
        </is>
      </c>
      <c r="L19" s="2" t="inlineStr"/>
      <c r="M19" s="4">
        <f>IF(AND(ISNUMBER(G19),G19&gt;0),LOG10(G19),"")</f>
        <v/>
      </c>
      <c r="N19" s="4">
        <f>IF(AND(ISNUMBER(G19),ISNUMBER(H19),G19&gt;0,H19&gt;0),LN(G19/H19),"")</f>
        <v/>
      </c>
    </row>
    <row r="20">
      <c r="A20" s="2" t="inlineStr">
        <is>
          <t>JSW Steel Ltd.</t>
        </is>
      </c>
      <c r="B20" s="2" t="inlineStr">
        <is>
          <t>Materials</t>
        </is>
      </c>
      <c r="C20" s="3" t="n"/>
      <c r="D20" s="3" t="n"/>
      <c r="E20" s="3" t="n"/>
      <c r="F20" s="3" t="n"/>
      <c r="G20" s="3" t="n">
        <v>53167645</v>
      </c>
      <c r="H20" s="3" t="n">
        <v>49359385</v>
      </c>
      <c r="I20" s="2" t="inlineStr">
        <is>
          <t>pilot (38)</t>
        </is>
      </c>
      <c r="J20" s="2" t="inlineStr">
        <is>
          <t>uploaded PDF (JSW Steel Annual Report FY2023-24)</t>
        </is>
      </c>
      <c r="K20" s="2" t="inlineStr">
        <is>
          <t>BRSR Principle 6 Essential Indicators (GHG table); commitments and targets section</t>
        </is>
      </c>
      <c r="L20" s="2" t="inlineStr"/>
      <c r="M20" s="4">
        <f>IF(AND(ISNUMBER(G20),G20&gt;0),LOG10(G20),"")</f>
        <v/>
      </c>
      <c r="N20" s="4">
        <f>IF(AND(ISNUMBER(G20),ISNUMBER(H20),G20&gt;0,H20&gt;0),LN(G20/H20),"")</f>
        <v/>
      </c>
    </row>
    <row r="21">
      <c r="A21" s="2" t="inlineStr">
        <is>
          <t>L&amp;T Ltd.</t>
        </is>
      </c>
      <c r="B21" s="2" t="inlineStr">
        <is>
          <t>Industrials &amp; Logistics</t>
        </is>
      </c>
      <c r="C21" s="3" t="n"/>
      <c r="D21" s="3" t="n"/>
      <c r="E21" s="3" t="n"/>
      <c r="F21" s="3" t="n"/>
      <c r="G21" s="3" t="n">
        <v>985328</v>
      </c>
      <c r="H21" s="3" t="n">
        <v>966834</v>
      </c>
      <c r="I21" s="2" t="inlineStr">
        <is>
          <t>pilot (38)</t>
        </is>
      </c>
      <c r="J21" s="2" t="inlineStr">
        <is>
          <t>uploaded PDF (L&amp;T BRSR, filed with stock exchanges, FY2023-24 filing's own prior-year restatement for FY2022-23)</t>
        </is>
      </c>
      <c r="K21" s="2" t="inlineStr">
        <is>
          <t>p.36</t>
        </is>
      </c>
      <c r="L21" s="2" t="inlineStr">
        <is>
          <t>FY2023-24 values taken from the filing file labelled PAM_ (p.36): Scope 1 635,646 / 693,115; Scope 2 349,682 / 273,719</t>
        </is>
      </c>
      <c r="M21" s="4">
        <f>IF(AND(ISNUMBER(G21),G21&gt;0),LOG10(G21),"")</f>
        <v/>
      </c>
      <c r="N21" s="4">
        <f>IF(AND(ISNUMBER(G21),ISNUMBER(H21),G21&gt;0,H21&gt;0),LN(G21/H21),"")</f>
        <v/>
      </c>
    </row>
    <row r="22">
      <c r="A22" s="2" t="inlineStr">
        <is>
          <t>Lupin Ltd.</t>
        </is>
      </c>
      <c r="B22" s="2" t="inlineStr">
        <is>
          <t>Healthcare &amp; Pharma</t>
        </is>
      </c>
      <c r="C22" s="3" t="n"/>
      <c r="D22" s="3" t="n"/>
      <c r="E22" s="3" t="n"/>
      <c r="F22" s="3" t="n"/>
      <c r="G22" s="3" t="n">
        <v>325379</v>
      </c>
      <c r="H22" s="3" t="n">
        <v>410755</v>
      </c>
      <c r="I22" s="2" t="inlineStr">
        <is>
          <t>pilot (38)</t>
        </is>
      </c>
      <c r="J22" s="2" t="inlineStr">
        <is>
          <t>uploaded PDF (Lupin Annual Report FY2023-24)</t>
        </is>
      </c>
      <c r="K22" s="2" t="inlineStr">
        <is>
          <t>BRSR Section, commitments/targets; Principle 6 Essential Indicators (GHG table)</t>
        </is>
      </c>
      <c r="L22" s="2" t="inlineStr"/>
      <c r="M22" s="4">
        <f>IF(AND(ISNUMBER(G22),G22&gt;0),LOG10(G22),"")</f>
        <v/>
      </c>
      <c r="N22" s="4">
        <f>IF(AND(ISNUMBER(G22),ISNUMBER(H22),G22&gt;0,H22&gt;0),LN(G22/H22),"")</f>
        <v/>
      </c>
    </row>
    <row r="23">
      <c r="A23" s="2" t="inlineStr">
        <is>
          <t>Mahindra &amp; Mahindra Ltd.</t>
        </is>
      </c>
      <c r="B23" s="2" t="inlineStr">
        <is>
          <t>Automobiles</t>
        </is>
      </c>
      <c r="C23" s="3" t="n"/>
      <c r="D23" s="3" t="n"/>
      <c r="E23" s="3" t="n"/>
      <c r="F23" s="3" t="n"/>
      <c r="G23" s="3" t="n"/>
      <c r="H23" s="3" t="n"/>
      <c r="I23" s="2" t="inlineStr">
        <is>
          <t>pilot (38)</t>
        </is>
      </c>
      <c r="J23" s="2" t="inlineStr">
        <is>
          <t>https://www.mahindra.com/sites/default/files/2026-08/Mahindra%20&amp;%20Mahindra%20Sustainability%20Report%202026.pdf</t>
        </is>
      </c>
      <c r="K23" s="2" t="inlineStr">
        <is>
          <t>p.3 (target); p.4 (intensity/renewable figures); p.5-6 (boundary, assurance)</t>
        </is>
      </c>
      <c r="L23" s="2" t="inlineStr"/>
      <c r="M23" s="4">
        <f>IF(AND(ISNUMBER(G23),G23&gt;0),LOG10(G23),"")</f>
        <v/>
      </c>
      <c r="N23" s="4">
        <f>IF(AND(ISNUMBER(G23),ISNUMBER(H23),G23&gt;0,H23&gt;0),LN(G23/H23),"")</f>
        <v/>
      </c>
    </row>
    <row r="24">
      <c r="A24" s="2" t="inlineStr">
        <is>
          <t>NTPC Ltd.</t>
        </is>
      </c>
      <c r="B24" s="2" t="inlineStr">
        <is>
          <t>Energy &amp; Utilities</t>
        </is>
      </c>
      <c r="C24" s="3" t="n"/>
      <c r="D24" s="3" t="n"/>
      <c r="E24" s="3" t="n"/>
      <c r="F24" s="3" t="n"/>
      <c r="G24" s="3" t="n">
        <v>352540000</v>
      </c>
      <c r="H24" s="3" t="n">
        <v>335790000</v>
      </c>
      <c r="I24" s="2" t="inlineStr">
        <is>
          <t>pilot (38)</t>
        </is>
      </c>
      <c r="J24" s="2" t="inlineStr">
        <is>
          <t>nsearchives.nseindia.com/corporate/NTPC1_06082024115916_NTPCSE_BRSR_2024.pdf</t>
        </is>
      </c>
      <c r="K24" s="2" t="inlineStr">
        <is>
          <t>p.264 (target/progress); p.283 (GHG table); p.259 (boundary); p.264 (assurance)</t>
        </is>
      </c>
      <c r="L24" s="2" t="inlineStr"/>
      <c r="M24" s="4">
        <f>IF(AND(ISNUMBER(G24),G24&gt;0),LOG10(G24),"")</f>
        <v/>
      </c>
      <c r="N24" s="4">
        <f>IF(AND(ISNUMBER(G24),ISNUMBER(H24),G24&gt;0,H24&gt;0),LN(G24/H24),"")</f>
        <v/>
      </c>
    </row>
    <row r="25">
      <c r="A25" s="2" t="inlineStr">
        <is>
          <t>Nestle India Ltd.</t>
        </is>
      </c>
      <c r="B25" s="2" t="inlineStr">
        <is>
          <t>Consumer</t>
        </is>
      </c>
      <c r="C25" s="3" t="n"/>
      <c r="D25" s="3" t="n"/>
      <c r="E25" s="3" t="n"/>
      <c r="F25" s="3" t="n"/>
      <c r="G25" s="3" t="n"/>
      <c r="H25" s="3" t="n"/>
      <c r="I25" s="2" t="inlineStr">
        <is>
          <t>pilot (38)</t>
        </is>
      </c>
      <c r="J25" s="2" t="inlineStr">
        <is>
          <t>nsearchives.nseindia.com/corporate/NESTLEIND1_03062025003115_Nestle_India_BRSR.pdf</t>
        </is>
      </c>
      <c r="K25" s="2" t="inlineStr">
        <is>
          <t>p.238 (target); p.233 (boundary); p.232 (assurance)</t>
        </is>
      </c>
      <c r="L25" s="2" t="inlineStr"/>
      <c r="M25" s="4">
        <f>IF(AND(ISNUMBER(G25),G25&gt;0),LOG10(G25),"")</f>
        <v/>
      </c>
      <c r="N25" s="4">
        <f>IF(AND(ISNUMBER(G25),ISNUMBER(H25),G25&gt;0,H25&gt;0),LN(G25/H25),"")</f>
        <v/>
      </c>
    </row>
    <row r="26">
      <c r="A26" s="2" t="inlineStr">
        <is>
          <t>Power Grid Corporation of India Ltd.</t>
        </is>
      </c>
      <c r="B26" s="2" t="inlineStr">
        <is>
          <t>Energy &amp; Utilities</t>
        </is>
      </c>
      <c r="C26" s="3" t="n"/>
      <c r="D26" s="3" t="n"/>
      <c r="E26" s="3" t="n"/>
      <c r="F26" s="3" t="n"/>
      <c r="G26" s="3" t="n">
        <v>344369</v>
      </c>
      <c r="H26" s="3" t="n">
        <v>363391</v>
      </c>
      <c r="I26" s="2" t="inlineStr">
        <is>
          <t>pilot (38)</t>
        </is>
      </c>
      <c r="J26" s="2" t="inlineStr">
        <is>
          <t>uploaded PDF (Power Grid Corporation Annual Report FY2023-24)</t>
        </is>
      </c>
      <c r="K26" s="2" t="inlineStr">
        <is>
          <t>BRSR Principle 6 Essential Indicators (GHG table)</t>
        </is>
      </c>
      <c r="L26" s="2" t="inlineStr"/>
      <c r="M26" s="4">
        <f>IF(AND(ISNUMBER(G26),G26&gt;0),LOG10(G26),"")</f>
        <v/>
      </c>
      <c r="N26" s="4">
        <f>IF(AND(ISNUMBER(G26),ISNUMBER(H26),G26&gt;0,H26&gt;0),LN(G26/H26),"")</f>
        <v/>
      </c>
    </row>
    <row r="27">
      <c r="A27" s="2" t="inlineStr">
        <is>
          <t>Rallis India Ltd.</t>
        </is>
      </c>
      <c r="B27" s="2" t="inlineStr">
        <is>
          <t>Materials</t>
        </is>
      </c>
      <c r="C27" s="3" t="n"/>
      <c r="D27" s="3" t="n"/>
      <c r="E27" s="3" t="n"/>
      <c r="F27" s="3" t="n"/>
      <c r="G27" s="3" t="n">
        <v>56280</v>
      </c>
      <c r="H27" s="3" t="n">
        <v>53377</v>
      </c>
      <c r="I27" s="2" t="inlineStr">
        <is>
          <t>pilot (38)</t>
        </is>
      </c>
      <c r="J27" s="2" t="inlineStr">
        <is>
          <t>nsearchives.nseindia.com/corporate/RALLIS1_29052024202939_BRSR2024.pdf</t>
        </is>
      </c>
      <c r="K27" s="2" t="inlineStr">
        <is>
          <t>p.29 (GHG table); p.8, p.26 (target); p.1 (boundary, assurance)</t>
        </is>
      </c>
      <c r="L27" s="2" t="inlineStr"/>
      <c r="M27" s="4">
        <f>IF(AND(ISNUMBER(G27),G27&gt;0),LOG10(G27),"")</f>
        <v/>
      </c>
      <c r="N27" s="4">
        <f>IF(AND(ISNUMBER(G27),ISNUMBER(H27),G27&gt;0,H27&gt;0),LN(G27/H27),"")</f>
        <v/>
      </c>
    </row>
    <row r="28">
      <c r="A28" s="2" t="inlineStr">
        <is>
          <t>Reliance Industries Ltd.</t>
        </is>
      </c>
      <c r="B28" s="2" t="inlineStr">
        <is>
          <t>Energy &amp; Utilities</t>
        </is>
      </c>
      <c r="C28" s="3" t="n"/>
      <c r="D28" s="3" t="n"/>
      <c r="E28" s="3" t="n"/>
      <c r="F28" s="3" t="n"/>
      <c r="G28" s="3" t="n">
        <v>29180679.66666667</v>
      </c>
      <c r="H28" s="3" t="n">
        <v>29018576</v>
      </c>
      <c r="I28" s="2" t="inlineStr">
        <is>
          <t>pilot (38)</t>
        </is>
      </c>
      <c r="J28" s="2" t="inlineStr">
        <is>
          <t>uploaded PDF (Reliance Industries Integrated Annual Report 2023-24)</t>
        </is>
      </c>
      <c r="K28" s="2" t="inlineStr">
        <is>
          <t>O2C and E&amp;P's GHG Emissions table (Net Carbon Zero Future section)</t>
        </is>
      </c>
      <c r="L28" s="2" t="inlineStr"/>
      <c r="M28" s="4">
        <f>IF(AND(ISNUMBER(G28),G28&gt;0),LOG10(G28),"")</f>
        <v/>
      </c>
      <c r="N28" s="4">
        <f>IF(AND(ISNUMBER(G28),ISNUMBER(H28),G28&gt;0,H28&gt;0),LN(G28/H28),"")</f>
        <v/>
      </c>
    </row>
    <row r="29">
      <c r="A29" s="2" t="inlineStr">
        <is>
          <t>State Bank of India</t>
        </is>
      </c>
      <c r="B29" s="2" t="inlineStr">
        <is>
          <t>Financials</t>
        </is>
      </c>
      <c r="C29" s="3" t="n"/>
      <c r="D29" s="3" t="n"/>
      <c r="E29" s="3" t="n"/>
      <c r="F29" s="3" t="n"/>
      <c r="G29" s="3" t="n">
        <v>769911</v>
      </c>
      <c r="H29" s="3" t="n">
        <v>960004</v>
      </c>
      <c r="I29" s="2" t="inlineStr">
        <is>
          <t>pilot (38)</t>
        </is>
      </c>
      <c r="J29" s="2" t="inlineStr">
        <is>
          <t>uploaded PDF (State Bank of India Annual Report / Sustainability Report FY2023-24, BRSR Principle 6)</t>
        </is>
      </c>
      <c r="K29" s="2" t="inlineStr">
        <is>
          <t>SBI Annual Report FY2023-24, BRSR Principle 6, Q7 GHG emissions table</t>
        </is>
      </c>
      <c r="L29" s="2" t="inlineStr"/>
      <c r="M29" s="4">
        <f>IF(AND(ISNUMBER(G29),G29&gt;0),LOG10(G29),"")</f>
        <v/>
      </c>
      <c r="N29" s="4">
        <f>IF(AND(ISNUMBER(G29),ISNUMBER(H29),G29&gt;0,H29&gt;0),LN(G29/H29),"")</f>
        <v/>
      </c>
    </row>
    <row r="30">
      <c r="A30" s="2" t="inlineStr">
        <is>
          <t>Sun Pharmaceutical Industries Ltd.</t>
        </is>
      </c>
      <c r="B30" s="2" t="inlineStr">
        <is>
          <t>Healthcare &amp; Pharma</t>
        </is>
      </c>
      <c r="C30" s="3" t="n"/>
      <c r="D30" s="3" t="n"/>
      <c r="E30" s="3" t="n"/>
      <c r="F30" s="3" t="n"/>
      <c r="G30" s="3" t="n">
        <v>348941</v>
      </c>
      <c r="H30" s="3" t="n">
        <v>384109</v>
      </c>
      <c r="I30" s="2" t="inlineStr">
        <is>
          <t>pilot (38)</t>
        </is>
      </c>
      <c r="J30" s="2" t="inlineStr">
        <is>
          <t>uploaded PDF (Sun Pharma Annual Report FY2023-24)</t>
        </is>
      </c>
      <c r="K30" s="2" t="inlineStr">
        <is>
          <t>BRSR Section, commitments/targets table; Principle 6 Essential Indicators (GHG table)</t>
        </is>
      </c>
      <c r="L30" s="2" t="inlineStr"/>
      <c r="M30" s="4">
        <f>IF(AND(ISNUMBER(G30),G30&gt;0),LOG10(G30),"")</f>
        <v/>
      </c>
      <c r="N30" s="4">
        <f>IF(AND(ISNUMBER(G30),ISNUMBER(H30),G30&gt;0,H30&gt;0),LN(G30/H30),"")</f>
        <v/>
      </c>
    </row>
    <row r="31">
      <c r="A31" s="2" t="inlineStr">
        <is>
          <t>TCS Ltd.</t>
        </is>
      </c>
      <c r="B31" s="2" t="inlineStr">
        <is>
          <t>Technology &amp; Telecom</t>
        </is>
      </c>
      <c r="C31" s="3" t="n"/>
      <c r="D31" s="3" t="n"/>
      <c r="E31" s="3" t="n"/>
      <c r="F31" s="3" t="n"/>
      <c r="G31" s="3" t="n">
        <v>76602</v>
      </c>
      <c r="H31" s="3" t="n">
        <v>76093.8</v>
      </c>
      <c r="I31" s="2" t="inlineStr">
        <is>
          <t>pilot (38)</t>
        </is>
      </c>
      <c r="J31" s="2" t="inlineStr">
        <is>
          <t>nsearchives.nseindia.com/corporate/TCS_CORPCS_15052026234943_BRSR_signed.pdf</t>
        </is>
      </c>
      <c r="K31" s="2" t="inlineStr">
        <is>
          <t>p.166 (target); p.141 footnote 31 (progress); p.165-166 (GHG table); p.136 (boundary); p.135-136 (assurance)</t>
        </is>
      </c>
      <c r="L31" s="2" t="inlineStr"/>
      <c r="M31" s="4">
        <f>IF(AND(ISNUMBER(G31),G31&gt;0),LOG10(G31),"")</f>
        <v/>
      </c>
      <c r="N31" s="4">
        <f>IF(AND(ISNUMBER(G31),ISNUMBER(H31),G31&gt;0,H31&gt;0),LN(G31/H31),"")</f>
        <v/>
      </c>
    </row>
    <row r="32">
      <c r="A32" s="2" t="inlineStr">
        <is>
          <t>Tata Motors Ltd.</t>
        </is>
      </c>
      <c r="B32" s="2" t="inlineStr">
        <is>
          <t>Automobiles</t>
        </is>
      </c>
      <c r="C32" s="3" t="n"/>
      <c r="D32" s="3" t="n"/>
      <c r="E32" s="3" t="n"/>
      <c r="F32" s="3" t="n"/>
      <c r="G32" s="3" t="n">
        <v>208074</v>
      </c>
      <c r="H32" s="3" t="n">
        <v>227594</v>
      </c>
      <c r="I32" s="2" t="inlineStr">
        <is>
          <t>pilot (38)</t>
        </is>
      </c>
      <c r="J32" s="2" t="inlineStr">
        <is>
          <t>uploaded PDF (Tata Motors Annual Report FY2023-24)</t>
        </is>
      </c>
      <c r="K32" s="2" t="inlineStr">
        <is>
          <t>BRSR Principle 6 Essential Indicators (GHG table)</t>
        </is>
      </c>
      <c r="L32" s="2" t="inlineStr"/>
      <c r="M32" s="4">
        <f>IF(AND(ISNUMBER(G32),G32&gt;0),LOG10(G32),"")</f>
        <v/>
      </c>
      <c r="N32" s="4">
        <f>IF(AND(ISNUMBER(G32),ISNUMBER(H32),G32&gt;0,H32&gt;0),LN(G32/H32),"")</f>
        <v/>
      </c>
    </row>
    <row r="33">
      <c r="A33" s="2" t="inlineStr">
        <is>
          <t>Tata Power Company Ltd.</t>
        </is>
      </c>
      <c r="B33" s="2" t="inlineStr">
        <is>
          <t>Energy &amp; Utilities</t>
        </is>
      </c>
      <c r="C33" s="3" t="n"/>
      <c r="D33" s="3" t="n"/>
      <c r="E33" s="3" t="n"/>
      <c r="F33" s="3" t="n"/>
      <c r="G33" s="3" t="n"/>
      <c r="H33" s="3" t="n"/>
      <c r="I33" s="2" t="inlineStr">
        <is>
          <t>pilot (38)</t>
        </is>
      </c>
      <c r="J33" s="2" t="inlineStr">
        <is>
          <t>nsearchives.nseindia.com/corporate/VPTPCL_10062026204631_BRSR_FY26.pdf</t>
        </is>
      </c>
      <c r="K33" s="2" t="inlineStr">
        <is>
          <t>p.288 (clean-capacity mix, forward claim); p.290 (boundary, assurance)</t>
        </is>
      </c>
      <c r="L33" s="2" t="inlineStr"/>
      <c r="M33" s="4">
        <f>IF(AND(ISNUMBER(G33),G33&gt;0),LOG10(G33),"")</f>
        <v/>
      </c>
      <c r="N33" s="4">
        <f>IF(AND(ISNUMBER(G33),ISNUMBER(H33),G33&gt;0,H33&gt;0),LN(G33/H33),"")</f>
        <v/>
      </c>
    </row>
    <row r="34">
      <c r="A34" s="2" t="inlineStr">
        <is>
          <t>Tata Steel Ltd.</t>
        </is>
      </c>
      <c r="B34" s="2" t="inlineStr">
        <is>
          <t>Materials</t>
        </is>
      </c>
      <c r="C34" s="3" t="n"/>
      <c r="D34" s="3" t="n"/>
      <c r="E34" s="3" t="n"/>
      <c r="F34" s="3" t="n"/>
      <c r="G34" s="3" t="n">
        <v>82000000</v>
      </c>
      <c r="H34" s="3" t="n">
        <v>82000000</v>
      </c>
      <c r="I34" s="2" t="inlineStr">
        <is>
          <t>pilot (38)</t>
        </is>
      </c>
      <c r="J34" s="2" t="inlineStr">
        <is>
          <t>uploaded PDF (Tata Steel BRSR/Integrated Report FY2023-24)</t>
        </is>
      </c>
      <c r="K34" s="2" t="inlineStr">
        <is>
          <t>BRSR Principle 6 Essential Indicators (GHG table, Standalone + Consolidated columns)</t>
        </is>
      </c>
      <c r="L34" s="2" t="inlineStr"/>
      <c r="M34" s="4">
        <f>IF(AND(ISNUMBER(G34),G34&gt;0),LOG10(G34),"")</f>
        <v/>
      </c>
      <c r="N34" s="4">
        <f>IF(AND(ISNUMBER(G34),ISNUMBER(H34),G34&gt;0,H34&gt;0),LN(G34/H34),"")</f>
        <v/>
      </c>
    </row>
    <row r="35">
      <c r="A35" s="2" t="inlineStr">
        <is>
          <t>Tech Mahindra Ltd.</t>
        </is>
      </c>
      <c r="B35" s="2" t="inlineStr">
        <is>
          <t>Technology &amp; Telecom</t>
        </is>
      </c>
      <c r="C35" s="3" t="n"/>
      <c r="D35" s="3" t="n"/>
      <c r="E35" s="3" t="n"/>
      <c r="F35" s="3" t="n"/>
      <c r="G35" s="3" t="n">
        <v>78662</v>
      </c>
      <c r="H35" s="3" t="n">
        <v>68662.02</v>
      </c>
      <c r="I35" s="2" t="inlineStr">
        <is>
          <t>pilot (38)</t>
        </is>
      </c>
      <c r="J35" s="2" t="inlineStr">
        <is>
          <t>uploaded PDF (Tech Mahindra Ltd. Integrated Annual Report FY2023-24, BRSR Principle 6)</t>
        </is>
      </c>
      <c r="K35" s="2" t="inlineStr">
        <is>
          <t>Tech Mahindra Integrated Annual Report FY2023-24, BRSR Principle 6, Q7 GHG emissions table</t>
        </is>
      </c>
      <c r="L35" s="2" t="inlineStr"/>
      <c r="M35" s="4">
        <f>IF(AND(ISNUMBER(G35),G35&gt;0),LOG10(G35),"")</f>
        <v/>
      </c>
      <c r="N35" s="4">
        <f>IF(AND(ISNUMBER(G35),ISNUMBER(H35),G35&gt;0,H35&gt;0),LN(G35/H35),"")</f>
        <v/>
      </c>
    </row>
    <row r="36">
      <c r="A36" s="2" t="inlineStr">
        <is>
          <t>UFlex Ltd.</t>
        </is>
      </c>
      <c r="B36" s="2" t="inlineStr">
        <is>
          <t>Materials</t>
        </is>
      </c>
      <c r="C36" s="3" t="n"/>
      <c r="D36" s="3" t="n"/>
      <c r="E36" s="3" t="n"/>
      <c r="F36" s="3" t="n"/>
      <c r="G36" s="3" t="n">
        <v>238681.03</v>
      </c>
      <c r="H36" s="3" t="n">
        <v>217396.69</v>
      </c>
      <c r="I36" s="2" t="inlineStr">
        <is>
          <t>pilot (38)</t>
        </is>
      </c>
      <c r="J36" s="2" t="inlineStr">
        <is>
          <t>nsearchives.nseindia.com/corporate/DineshSharma_27082024190629_SIGNEDUFLEXNSEBSEBRSR2024.pdf</t>
        </is>
      </c>
      <c r="K36" s="2" t="inlineStr">
        <is>
          <t>p.106 (GHG table); p.107 (net-zero/solar PPA); p.75 (boundary); p.78 (assurance)</t>
        </is>
      </c>
      <c r="L36" s="2" t="inlineStr"/>
      <c r="M36" s="4">
        <f>IF(AND(ISNUMBER(G36),G36&gt;0),LOG10(G36),"")</f>
        <v/>
      </c>
      <c r="N36" s="4">
        <f>IF(AND(ISNUMBER(G36),ISNUMBER(H36),G36&gt;0,H36&gt;0),LN(G36/H36),"")</f>
        <v/>
      </c>
    </row>
    <row r="37">
      <c r="A37" s="2" t="inlineStr">
        <is>
          <t>UltraTech Cement Ltd.</t>
        </is>
      </c>
      <c r="B37" s="2" t="inlineStr">
        <is>
          <t>Materials</t>
        </is>
      </c>
      <c r="C37" s="3" t="n"/>
      <c r="D37" s="3" t="n"/>
      <c r="E37" s="3" t="n"/>
      <c r="F37" s="3" t="n"/>
      <c r="G37" s="3" t="n">
        <v>83067858</v>
      </c>
      <c r="H37" s="3" t="n">
        <v>73122246</v>
      </c>
      <c r="I37" s="2" t="inlineStr">
        <is>
          <t>pilot (38)</t>
        </is>
      </c>
      <c r="J37" s="2" t="inlineStr">
        <is>
          <t>uploaded PDF (UltraTech Cement Annual Report)</t>
        </is>
      </c>
      <c r="K37" s="2" t="inlineStr">
        <is>
          <t>BRSR Principle 6 Essential Indicators (GHG table)</t>
        </is>
      </c>
      <c r="L37" s="2" t="inlineStr"/>
      <c r="M37" s="4">
        <f>IF(AND(ISNUMBER(G37),G37&gt;0),LOG10(G37),"")</f>
        <v/>
      </c>
      <c r="N37" s="4">
        <f>IF(AND(ISNUMBER(G37),ISNUMBER(H37),G37&gt;0,H37&gt;0),LN(G37/H37),"")</f>
        <v/>
      </c>
    </row>
    <row r="38">
      <c r="A38" s="2" t="inlineStr">
        <is>
          <t>Vedanta Ltd.</t>
        </is>
      </c>
      <c r="B38" s="2" t="inlineStr">
        <is>
          <t>Materials</t>
        </is>
      </c>
      <c r="C38" s="3" t="n"/>
      <c r="D38" s="3" t="n"/>
      <c r="E38" s="3" t="n"/>
      <c r="F38" s="3" t="n"/>
      <c r="G38" s="3" t="n"/>
      <c r="H38" s="3" t="n"/>
      <c r="I38" s="2" t="inlineStr">
        <is>
          <t>pilot (38)</t>
        </is>
      </c>
      <c r="J38" s="2" t="inlineStr">
        <is>
          <t>https://www.vedantalimited.com/uploads/esg/esg-sustainability-framework/Sustainability-Report-FY2024.pdf</t>
        </is>
      </c>
      <c r="K38" s="2" t="inlineStr">
        <is>
          <t>p.33 (target/progress); p.8 (combined total); p.38 (net-zero 2050); p.3 (boundary); p.5 (assurance)</t>
        </is>
      </c>
      <c r="L38" s="2" t="inlineStr"/>
      <c r="M38" s="4">
        <f>IF(AND(ISNUMBER(G38),G38&gt;0),LOG10(G38),"")</f>
        <v/>
      </c>
      <c r="N38" s="4">
        <f>IF(AND(ISNUMBER(G38),ISNUMBER(H38),G38&gt;0,H38&gt;0),LN(G38/H38),"")</f>
        <v/>
      </c>
    </row>
    <row r="39">
      <c r="A39" s="2" t="inlineStr">
        <is>
          <t>Wipro Ltd.</t>
        </is>
      </c>
      <c r="B39" s="2" t="inlineStr">
        <is>
          <t>Technology &amp; Telecom</t>
        </is>
      </c>
      <c r="C39" s="3" t="n"/>
      <c r="D39" s="3" t="n"/>
      <c r="E39" s="3" t="n"/>
      <c r="F39" s="3" t="n"/>
      <c r="G39" s="3" t="n">
        <v>38927.91</v>
      </c>
      <c r="H39" s="3" t="n">
        <v>68760</v>
      </c>
      <c r="I39" s="2" t="inlineStr">
        <is>
          <t>pilot (38)</t>
        </is>
      </c>
      <c r="J39" s="2" t="inlineStr">
        <is>
          <t>uploaded PDF (Wipro Ltd. Integrated Annual Report FY2023-24, official signed BRSR, Principle 6)</t>
        </is>
      </c>
      <c r="K39" s="2" t="inlineStr">
        <is>
          <t>Wipro Integrated Annual Report FY2023-24, BRSR Principle 6, Q7 GHG emissions table</t>
        </is>
      </c>
      <c r="L39" s="2" t="inlineStr"/>
      <c r="M39" s="4">
        <f>IF(AND(ISNUMBER(G39),G39&gt;0),LOG10(G39),"")</f>
        <v/>
      </c>
      <c r="N39" s="4">
        <f>IF(AND(ISNUMBER(G39),ISNUMBER(H39),G39&gt;0,H39&gt;0),LN(G39/H39),"")</f>
        <v/>
      </c>
    </row>
    <row r="40">
      <c r="A40" s="2" t="inlineStr">
        <is>
          <t>Safari Industries (India) Ltd.</t>
        </is>
      </c>
      <c r="B40" s="2" t="inlineStr">
        <is>
          <t>Consumer</t>
        </is>
      </c>
      <c r="C40" s="3" t="n">
        <v>35</v>
      </c>
      <c r="D40" s="3" t="n">
        <v>30</v>
      </c>
      <c r="E40" s="3" t="n">
        <v>10797</v>
      </c>
      <c r="F40" s="3" t="n">
        <v>7659</v>
      </c>
      <c r="G40" s="3" t="n">
        <v>10832</v>
      </c>
      <c r="H40" s="3" t="n">
        <v>7689</v>
      </c>
      <c r="I40" s="2" t="inlineStr">
        <is>
          <t>extended (17)</t>
        </is>
      </c>
      <c r="J40" s="2" t="inlineStr">
        <is>
          <t>AR_24490_SAFARI_2023_2024_15072024154750.pdf</t>
        </is>
      </c>
      <c r="K40" s="2" t="inlineStr">
        <is>
          <t>93</t>
        </is>
      </c>
      <c r="L40" s="2" t="inlineStr"/>
      <c r="M40" s="4">
        <f>IF(AND(ISNUMBER(G40),G40&gt;0),LOG10(G40),"")</f>
        <v/>
      </c>
      <c r="N40" s="4">
        <f>IF(AND(ISNUMBER(G40),ISNUMBER(H40),G40&gt;0,H40&gt;0),LN(G40/H40),"")</f>
        <v/>
      </c>
    </row>
    <row r="41">
      <c r="A41" s="2" t="inlineStr">
        <is>
          <t>SJS Enterprises Ltd.</t>
        </is>
      </c>
      <c r="B41" s="2" t="inlineStr">
        <is>
          <t>Automobiles</t>
        </is>
      </c>
      <c r="C41" s="3" t="n">
        <v>46032</v>
      </c>
      <c r="D41" s="3" t="n">
        <v>26912.56</v>
      </c>
      <c r="E41" s="3" t="n">
        <v>635281</v>
      </c>
      <c r="F41" s="3" t="n">
        <v>2240385</v>
      </c>
      <c r="G41" s="3" t="n">
        <v>681313</v>
      </c>
      <c r="H41" s="3" t="n">
        <v>2267297.56</v>
      </c>
      <c r="I41" s="2" t="inlineStr">
        <is>
          <t>extended (17)</t>
        </is>
      </c>
      <c r="J41" s="2" t="inlineStr">
        <is>
          <t>AR_24643_SJS_2023_2024_24072024155551.pdf</t>
        </is>
      </c>
      <c r="K41" s="2" t="inlineStr">
        <is>
          <t>168</t>
        </is>
      </c>
      <c r="L41" s="2" t="inlineStr">
        <is>
          <t>Scope 2 magnitude and 72% fall unit-plausibility unverified (report text states a 71.66% fall)</t>
        </is>
      </c>
      <c r="M41" s="4">
        <f>IF(AND(ISNUMBER(G41),G41&gt;0),LOG10(G41),"")</f>
        <v/>
      </c>
      <c r="N41" s="4">
        <f>IF(AND(ISNUMBER(G41),ISNUMBER(H41),G41&gt;0,H41&gt;0),LN(G41/H41),"")</f>
        <v/>
      </c>
    </row>
    <row r="42">
      <c r="A42" s="2" t="inlineStr">
        <is>
          <t>Prudent Corporate Advisory Services Ltd.</t>
        </is>
      </c>
      <c r="B42" s="2" t="inlineStr">
        <is>
          <t>Financials</t>
        </is>
      </c>
      <c r="C42" s="3" t="n">
        <v>10.1</v>
      </c>
      <c r="D42" s="3" t="n">
        <v>0.008</v>
      </c>
      <c r="E42" s="3" t="n">
        <v>258.3</v>
      </c>
      <c r="F42" s="3" t="n">
        <v>235</v>
      </c>
      <c r="G42" s="3" t="n">
        <v>268.4</v>
      </c>
      <c r="H42" s="3" t="n">
        <v>235.008</v>
      </c>
      <c r="I42" s="2" t="inlineStr">
        <is>
          <t>extended (17)</t>
        </is>
      </c>
      <c r="J42" s="2" t="inlineStr">
        <is>
          <t>AR_25431_PRUDENT_2023_2024_02092024163259.pdf</t>
        </is>
      </c>
      <c r="K42" s="2" t="inlineStr">
        <is>
          <t>64</t>
        </is>
      </c>
      <c r="L42" s="2" t="inlineStr">
        <is>
          <t>Scope 1 prior value 0.008 implausible; total dominated by Scope 2</t>
        </is>
      </c>
      <c r="M42" s="4">
        <f>IF(AND(ISNUMBER(G42),G42&gt;0),LOG10(G42),"")</f>
        <v/>
      </c>
      <c r="N42" s="4">
        <f>IF(AND(ISNUMBER(G42),ISNUMBER(H42),G42&gt;0,H42&gt;0),LN(G42/H42),"")</f>
        <v/>
      </c>
    </row>
    <row r="43">
      <c r="A43" s="2" t="inlineStr">
        <is>
          <t>Gujarat Gas Ltd.</t>
        </is>
      </c>
      <c r="B43" s="2" t="inlineStr">
        <is>
          <t>Energy &amp; Utilities</t>
        </is>
      </c>
      <c r="C43" s="3" t="n">
        <v>3595.2</v>
      </c>
      <c r="D43" s="3" t="n">
        <v>2910.13</v>
      </c>
      <c r="E43" s="3" t="n">
        <v>104330.3</v>
      </c>
      <c r="F43" s="3" t="n">
        <v>94151.97</v>
      </c>
      <c r="G43" s="3" t="n">
        <v>107925.5</v>
      </c>
      <c r="H43" s="3" t="n">
        <v>97062.10000000001</v>
      </c>
      <c r="I43" s="2" t="inlineStr">
        <is>
          <t>extended (17)</t>
        </is>
      </c>
      <c r="J43" s="2" t="inlineStr">
        <is>
          <t>AR_25631_GUJGASLTD_2023_2024_0309202422443.pdf</t>
        </is>
      </c>
      <c r="K43" s="2" t="inlineStr">
        <is>
          <t>97</t>
        </is>
      </c>
      <c r="L43" s="2" t="inlineStr"/>
      <c r="M43" s="4">
        <f>IF(AND(ISNUMBER(G43),G43&gt;0),LOG10(G43),"")</f>
        <v/>
      </c>
      <c r="N43" s="4">
        <f>IF(AND(ISNUMBER(G43),ISNUMBER(H43),G43&gt;0,H43&gt;0),LN(G43/H43),"")</f>
        <v/>
      </c>
    </row>
    <row r="44">
      <c r="A44" s="2" t="inlineStr">
        <is>
          <t>Bajaj Finance Ltd.</t>
        </is>
      </c>
      <c r="B44" s="2" t="inlineStr">
        <is>
          <t>Financials</t>
        </is>
      </c>
      <c r="C44" s="3" t="n">
        <v>4784.59</v>
      </c>
      <c r="D44" s="3" t="n">
        <v>11648.51</v>
      </c>
      <c r="E44" s="3" t="n">
        <v>28908.06</v>
      </c>
      <c r="F44" s="3" t="n">
        <v>24629.48</v>
      </c>
      <c r="G44" s="3" t="n">
        <v>33692.65</v>
      </c>
      <c r="H44" s="3" t="n">
        <v>36277.99</v>
      </c>
      <c r="I44" s="2" t="inlineStr">
        <is>
          <t>extended (17)</t>
        </is>
      </c>
      <c r="J44" s="2" t="inlineStr">
        <is>
          <t>BAJFINANCE_26062024214736_BSENSE_Annual_Report_and_Notice_Intimation_FY24_Final.pdf</t>
        </is>
      </c>
      <c r="K44" s="2" t="inlineStr">
        <is>
          <t>198</t>
        </is>
      </c>
      <c r="L44" s="2" t="inlineStr"/>
      <c r="M44" s="4">
        <f>IF(AND(ISNUMBER(G44),G44&gt;0),LOG10(G44),"")</f>
        <v/>
      </c>
      <c r="N44" s="4">
        <f>IF(AND(ISNUMBER(G44),ISNUMBER(H44),G44&gt;0,H44&gt;0),LN(G44/H44),"")</f>
        <v/>
      </c>
    </row>
    <row r="45">
      <c r="A45" s="2" t="inlineStr">
        <is>
          <t>Eicher Motors Ltd.</t>
        </is>
      </c>
      <c r="B45" s="2" t="inlineStr">
        <is>
          <t>Automobiles</t>
        </is>
      </c>
      <c r="C45" s="3" t="n">
        <v>14516</v>
      </c>
      <c r="D45" s="3" t="n">
        <v>11510</v>
      </c>
      <c r="E45" s="3" t="n">
        <v>44006</v>
      </c>
      <c r="F45" s="3" t="n">
        <v>55945</v>
      </c>
      <c r="G45" s="3" t="n">
        <v>58522</v>
      </c>
      <c r="H45" s="3" t="n">
        <v>67455</v>
      </c>
      <c r="I45" s="2" t="inlineStr">
        <is>
          <t>extended (17)</t>
        </is>
      </c>
      <c r="J45" s="2" t="inlineStr">
        <is>
          <t>EICHERMOT_30072024174835_EMLBRSR2024StockExchange30072024Signed.pdf</t>
        </is>
      </c>
      <c r="K45" s="2" t="inlineStr">
        <is>
          <t>25</t>
        </is>
      </c>
      <c r="L45" s="2" t="inlineStr"/>
      <c r="M45" s="4">
        <f>IF(AND(ISNUMBER(G45),G45&gt;0),LOG10(G45),"")</f>
        <v/>
      </c>
      <c r="N45" s="4">
        <f>IF(AND(ISNUMBER(G45),ISNUMBER(H45),G45&gt;0,H45&gt;0),LN(G45/H45),"")</f>
        <v/>
      </c>
    </row>
    <row r="46">
      <c r="A46" s="2" t="inlineStr">
        <is>
          <t>Krsnaa Diagnostics Ltd.</t>
        </is>
      </c>
      <c r="B46" s="2" t="inlineStr">
        <is>
          <t>Healthcare &amp; Pharma</t>
        </is>
      </c>
      <c r="C46" s="3" t="n">
        <v>56.2</v>
      </c>
      <c r="D46" s="3" t="n">
        <v>27.79</v>
      </c>
      <c r="E46" s="3" t="n">
        <v>150.38</v>
      </c>
      <c r="F46" s="3" t="n">
        <v>89.38</v>
      </c>
      <c r="G46" s="3" t="n">
        <v>206.58</v>
      </c>
      <c r="H46" s="3" t="n">
        <v>117.17</v>
      </c>
      <c r="I46" s="2" t="inlineStr">
        <is>
          <t>extended (17)</t>
        </is>
      </c>
      <c r="J46" s="2" t="inlineStr">
        <is>
          <t>KRSNAA_28082024200115_543328_Signed.pdf</t>
        </is>
      </c>
      <c r="K46" s="2" t="inlineStr">
        <is>
          <t>21</t>
        </is>
      </c>
      <c r="L46" s="2" t="inlineStr"/>
      <c r="M46" s="4">
        <f>IF(AND(ISNUMBER(G46),G46&gt;0),LOG10(G46),"")</f>
        <v/>
      </c>
      <c r="N46" s="4">
        <f>IF(AND(ISNUMBER(G46),ISNUMBER(H46),G46&gt;0,H46&gt;0),LN(G46/H46),"")</f>
        <v/>
      </c>
    </row>
    <row r="47">
      <c r="A47" s="2" t="inlineStr">
        <is>
          <t>Maruti Suzuki India Ltd.</t>
        </is>
      </c>
      <c r="B47" s="2" t="inlineStr">
        <is>
          <t>Automobiles</t>
        </is>
      </c>
      <c r="C47" s="3" t="n">
        <v>212545</v>
      </c>
      <c r="D47" s="3" t="n">
        <v>223289</v>
      </c>
      <c r="E47" s="3" t="n">
        <v>202067</v>
      </c>
      <c r="F47" s="3" t="n">
        <v>206626</v>
      </c>
      <c r="G47" s="3" t="n">
        <v>414612</v>
      </c>
      <c r="H47" s="3" t="n">
        <v>429915</v>
      </c>
      <c r="I47" s="2" t="inlineStr">
        <is>
          <t>extended (17)</t>
        </is>
      </c>
      <c r="J47" s="2" t="inlineStr">
        <is>
          <t>MARUTI_04082024104620_BRSR_2024_For_STx_signed.pdf</t>
        </is>
      </c>
      <c r="K47" s="2" t="inlineStr">
        <is>
          <t>16</t>
        </is>
      </c>
      <c r="L47" s="2" t="inlineStr"/>
      <c r="M47" s="4">
        <f>IF(AND(ISNUMBER(G47),G47&gt;0),LOG10(G47),"")</f>
        <v/>
      </c>
      <c r="N47" s="4">
        <f>IF(AND(ISNUMBER(G47),ISNUMBER(H47),G47&gt;0,H47&gt;0),LN(G47/H47),"")</f>
        <v/>
      </c>
    </row>
    <row r="48">
      <c r="A48" s="2" t="inlineStr">
        <is>
          <t>RateGain Travel Technologies Ltd.</t>
        </is>
      </c>
      <c r="B48" s="2" t="inlineStr">
        <is>
          <t>Technology &amp; Telecom</t>
        </is>
      </c>
      <c r="C48" s="3" t="n">
        <v>23.47</v>
      </c>
      <c r="D48" s="3" t="n">
        <v>26.09</v>
      </c>
      <c r="E48" s="3" t="n">
        <v>210.08</v>
      </c>
      <c r="F48" s="3" t="n">
        <v>203.07</v>
      </c>
      <c r="G48" s="3" t="n">
        <v>233.55</v>
      </c>
      <c r="H48" s="3" t="n">
        <v>229.16</v>
      </c>
      <c r="I48" s="2" t="inlineStr">
        <is>
          <t>extended (17)</t>
        </is>
      </c>
      <c r="J48" s="2" t="inlineStr">
        <is>
          <t>RATEGAIN_23082024130156_RG_BRSR230824.pdf</t>
        </is>
      </c>
      <c r="K48" s="2" t="inlineStr">
        <is>
          <t>36</t>
        </is>
      </c>
      <c r="L48" s="2" t="inlineStr"/>
      <c r="M48" s="4">
        <f>IF(AND(ISNUMBER(G48),G48&gt;0),LOG10(G48),"")</f>
        <v/>
      </c>
      <c r="N48" s="4">
        <f>IF(AND(ISNUMBER(G48),ISNUMBER(H48),G48&gt;0,H48&gt;0),LN(G48/H48),"")</f>
        <v/>
      </c>
    </row>
    <row r="49">
      <c r="A49" s="2" t="inlineStr">
        <is>
          <t>Restaurant Brands Asia Ltd.</t>
        </is>
      </c>
      <c r="B49" s="2" t="inlineStr">
        <is>
          <t>Consumer</t>
        </is>
      </c>
      <c r="C49" s="3" t="n">
        <v>15633</v>
      </c>
      <c r="D49" s="3" t="n">
        <v>11269.81</v>
      </c>
      <c r="E49" s="3" t="n">
        <v>59887</v>
      </c>
      <c r="F49" s="3" t="n"/>
      <c r="G49" s="3" t="n">
        <v>75520</v>
      </c>
      <c r="H49" s="3" t="n"/>
      <c r="I49" s="2" t="inlineStr">
        <is>
          <t>extended (17)</t>
        </is>
      </c>
      <c r="J49" s="2" t="inlineStr">
        <is>
          <t>RBA_27082024195449_FinalUpload.pdf</t>
        </is>
      </c>
      <c r="K49" s="2" t="inlineStr">
        <is>
          <t>24</t>
        </is>
      </c>
      <c r="L49" s="2" t="inlineStr">
        <is>
          <t>Prior-year Scope 2 not reported ('-'); year-on-year total not comparable</t>
        </is>
      </c>
      <c r="M49" s="4">
        <f>IF(AND(ISNUMBER(G49),G49&gt;0),LOG10(G49),"")</f>
        <v/>
      </c>
      <c r="N49" s="4">
        <f>IF(AND(ISNUMBER(G49),ISNUMBER(H49),G49&gt;0,H49&gt;0),LN(G49/H49),"")</f>
        <v/>
      </c>
    </row>
    <row r="50">
      <c r="A50" s="2" t="inlineStr">
        <is>
          <t>SBI Life Insurance Co. Ltd.</t>
        </is>
      </c>
      <c r="B50" s="2" t="inlineStr">
        <is>
          <t>Financials</t>
        </is>
      </c>
      <c r="C50" s="3" t="n">
        <v>2735.11</v>
      </c>
      <c r="D50" s="3" t="n">
        <v>86.73</v>
      </c>
      <c r="E50" s="3" t="n">
        <v>15260.1</v>
      </c>
      <c r="F50" s="3" t="n">
        <v>4902.24</v>
      </c>
      <c r="G50" s="3" t="n">
        <v>17995.21</v>
      </c>
      <c r="H50" s="3" t="n">
        <v>4988.969999999999</v>
      </c>
      <c r="I50" s="2" t="inlineStr">
        <is>
          <t>extended (17)</t>
        </is>
      </c>
      <c r="J50" s="2" t="inlineStr">
        <is>
          <t>Thanos_03082024163126_SEIntimation_BRSR_signed.pdf</t>
        </is>
      </c>
      <c r="K50" s="2" t="inlineStr">
        <is>
          <t>35</t>
        </is>
      </c>
      <c r="L50" s="2" t="inlineStr">
        <is>
          <t>File name does not show the company; identified from the report cover</t>
        </is>
      </c>
      <c r="M50" s="4">
        <f>IF(AND(ISNUMBER(G50),G50&gt;0),LOG10(G50),"")</f>
        <v/>
      </c>
      <c r="N50" s="4">
        <f>IF(AND(ISNUMBER(G50),ISNUMBER(H50),G50&gt;0,H50&gt;0),LN(G50/H50),"")</f>
        <v/>
      </c>
    </row>
    <row r="51">
      <c r="A51" s="2" t="inlineStr">
        <is>
          <t>5paisa Capital Ltd.</t>
        </is>
      </c>
      <c r="B51" s="2" t="inlineStr">
        <is>
          <t>Financials</t>
        </is>
      </c>
      <c r="C51" s="3" t="n">
        <v>0</v>
      </c>
      <c r="D51" s="3" t="n">
        <v>0</v>
      </c>
      <c r="E51" s="3" t="n">
        <v>1418.003</v>
      </c>
      <c r="F51" s="3" t="n">
        <v>1356.003</v>
      </c>
      <c r="G51" s="3" t="n">
        <v>1418.003</v>
      </c>
      <c r="H51" s="3" t="n">
        <v>1356.003</v>
      </c>
      <c r="I51" s="2" t="inlineStr">
        <is>
          <t>extended (17)</t>
        </is>
      </c>
      <c r="J51" s="2" t="inlineStr">
        <is>
          <t>5PAISA_16082024193503_EXINTIMATION.pdf</t>
        </is>
      </c>
      <c r="K51" s="2" t="inlineStr">
        <is>
          <t>32</t>
        </is>
      </c>
      <c r="L51" s="2" t="inlineStr">
        <is>
          <t>Scope 1 reported as '-' (treated as 0)</t>
        </is>
      </c>
      <c r="M51" s="4">
        <f>IF(AND(ISNUMBER(G51),G51&gt;0),LOG10(G51),"")</f>
        <v/>
      </c>
      <c r="N51" s="4">
        <f>IF(AND(ISNUMBER(G51),ISNUMBER(H51),G51&gt;0,H51&gt;0),LN(G51/H51),"")</f>
        <v/>
      </c>
    </row>
    <row r="52">
      <c r="A52" s="2" t="inlineStr">
        <is>
          <t>Greaves Cotton Ltd.</t>
        </is>
      </c>
      <c r="B52" s="2" t="inlineStr">
        <is>
          <t>Automobiles</t>
        </is>
      </c>
      <c r="C52" s="3" t="n">
        <v>1356.97</v>
      </c>
      <c r="D52" s="3" t="n">
        <v>126.3</v>
      </c>
      <c r="E52" s="3" t="n">
        <v>8182.93</v>
      </c>
      <c r="F52" s="3" t="n">
        <v>6815.51</v>
      </c>
      <c r="G52" s="3" t="n">
        <v>9539.9</v>
      </c>
      <c r="H52" s="3" t="n">
        <v>6941.81</v>
      </c>
      <c r="I52" s="2" t="inlineStr">
        <is>
          <t>extended (17)</t>
        </is>
      </c>
      <c r="J52" s="2" t="inlineStr">
        <is>
          <t>AR_24426_GREAVESCOT_2023_2024_1107202420114.pdf</t>
        </is>
      </c>
      <c r="K52" s="2" t="inlineStr">
        <is>
          <t>131</t>
        </is>
      </c>
      <c r="L52" s="2" t="inlineStr">
        <is>
          <t>Prior-year column is labelled FY 2022-238 in the extracted text</t>
        </is>
      </c>
      <c r="M52" s="4">
        <f>IF(AND(ISNUMBER(G52),G52&gt;0),LOG10(G52),"")</f>
        <v/>
      </c>
      <c r="N52" s="4">
        <f>IF(AND(ISNUMBER(G52),ISNUMBER(H52),G52&gt;0,H52&gt;0),LN(G52/H52),"")</f>
        <v/>
      </c>
    </row>
    <row r="53">
      <c r="A53" s="2" t="inlineStr">
        <is>
          <t>Entero Healthcare Solutions Ltd.</t>
        </is>
      </c>
      <c r="B53" s="2" t="inlineStr">
        <is>
          <t>Healthcare &amp; Pharma</t>
        </is>
      </c>
      <c r="C53" s="3" t="n">
        <v>1183.48</v>
      </c>
      <c r="D53" s="3" t="n">
        <v>1214.67</v>
      </c>
      <c r="E53" s="3" t="n">
        <v>3866.91</v>
      </c>
      <c r="F53" s="3" t="n">
        <v>3304.71</v>
      </c>
      <c r="G53" s="3" t="n">
        <v>5050.389999999999</v>
      </c>
      <c r="H53" s="3" t="n">
        <v>4519.38</v>
      </c>
      <c r="I53" s="2" t="inlineStr">
        <is>
          <t>extended (17)</t>
        </is>
      </c>
      <c r="J53" s="2" t="inlineStr">
        <is>
          <t>AR_24794_ENTERO_2023_2024_03082024143831.pdf</t>
        </is>
      </c>
      <c r="K53" s="2" t="inlineStr">
        <is>
          <t>115</t>
        </is>
      </c>
      <c r="L53" s="2" t="inlineStr">
        <is>
          <t>Scope 1 includes only refrigerant and fire extinguishers (company note)</t>
        </is>
      </c>
      <c r="M53" s="4">
        <f>IF(AND(ISNUMBER(G53),G53&gt;0),LOG10(G53),"")</f>
        <v/>
      </c>
      <c r="N53" s="4">
        <f>IF(AND(ISNUMBER(G53),ISNUMBER(H53),G53&gt;0,H53&gt;0),LN(G53/H53),"")</f>
        <v/>
      </c>
    </row>
    <row r="54">
      <c r="A54" s="2" t="inlineStr">
        <is>
          <t>Blue Dart Express Ltd.</t>
        </is>
      </c>
      <c r="B54" s="2" t="inlineStr">
        <is>
          <t>Industrials &amp; Logistics</t>
        </is>
      </c>
      <c r="C54" s="3" t="n">
        <v>147284</v>
      </c>
      <c r="D54" s="3" t="n">
        <v>166362</v>
      </c>
      <c r="E54" s="3" t="n">
        <v>15639</v>
      </c>
      <c r="F54" s="3" t="n">
        <v>16477</v>
      </c>
      <c r="G54" s="3" t="n">
        <v>162923</v>
      </c>
      <c r="H54" s="3" t="n">
        <v>182839</v>
      </c>
      <c r="I54" s="2" t="inlineStr">
        <is>
          <t>extended (17)</t>
        </is>
      </c>
      <c r="J54" s="2" t="inlineStr">
        <is>
          <t>BLUEDART_25062024195742_SELETTERBRSR2506.pdf</t>
        </is>
      </c>
      <c r="K54" s="2" t="inlineStr">
        <is>
          <t>42</t>
        </is>
      </c>
      <c r="L54" s="2" t="inlineStr"/>
      <c r="M54" s="4">
        <f>IF(AND(ISNUMBER(G54),G54&gt;0),LOG10(G54),"")</f>
        <v/>
      </c>
      <c r="N54" s="4">
        <f>IF(AND(ISNUMBER(G54),ISNUMBER(H54),G54&gt;0,H54&gt;0),LN(G54/H54),"")</f>
        <v/>
      </c>
    </row>
    <row r="55">
      <c r="A55" s="2" t="inlineStr">
        <is>
          <t>Asian Paints Ltd.</t>
        </is>
      </c>
      <c r="B55" s="2" t="inlineStr">
        <is>
          <t>Consumer</t>
        </is>
      </c>
      <c r="C55" s="3" t="n">
        <v>72794</v>
      </c>
      <c r="D55" s="3" t="n">
        <v>74943</v>
      </c>
      <c r="E55" s="3" t="n">
        <v>44357</v>
      </c>
      <c r="F55" s="3" t="n">
        <v>44600</v>
      </c>
      <c r="G55" s="3" t="n">
        <v>117151</v>
      </c>
      <c r="H55" s="3" t="n">
        <v>119543</v>
      </c>
      <c r="I55" s="2" t="inlineStr">
        <is>
          <t>extended (17)</t>
        </is>
      </c>
      <c r="J55" s="2" t="inlineStr">
        <is>
          <t>AR_24066_ASIANPAINT_2023_2024_3105202418521.pdf</t>
        </is>
      </c>
      <c r="K55" s="2" t="inlineStr">
        <is>
          <t>153</t>
        </is>
      </c>
      <c r="L55" s="2" t="inlineStr">
        <is>
          <t>Page text interleaved with a waste table; rows read in order</t>
        </is>
      </c>
      <c r="M55" s="4">
        <f>IF(AND(ISNUMBER(G55),G55&gt;0),LOG10(G55),"")</f>
        <v/>
      </c>
      <c r="N55" s="4">
        <f>IF(AND(ISNUMBER(G55),ISNUMBER(H55),G55&gt;0,H55&gt;0),LN(G55/H55),"")</f>
        <v/>
      </c>
    </row>
    <row r="56">
      <c r="A56" s="2" t="inlineStr">
        <is>
          <t>Bajaj Auto Ltd.</t>
        </is>
      </c>
      <c r="B56" s="2" t="inlineStr">
        <is>
          <t>Automobiles</t>
        </is>
      </c>
      <c r="C56" s="3" t="n">
        <v>22567</v>
      </c>
      <c r="D56" s="3" t="n">
        <v>8667</v>
      </c>
      <c r="E56" s="3" t="n">
        <v>70110</v>
      </c>
      <c r="F56" s="3" t="n">
        <v>72002</v>
      </c>
      <c r="G56" s="3" t="n">
        <v>92677</v>
      </c>
      <c r="H56" s="3" t="n">
        <v>80669</v>
      </c>
      <c r="I56" s="2" t="inlineStr">
        <is>
          <t>extended (17)</t>
        </is>
      </c>
      <c r="J56" s="2" t="inlineStr">
        <is>
          <t>AR_24163_BAJAJ-AUTO_2023_2024_2106202418557.pdf</t>
        </is>
      </c>
      <c r="K56" s="2" t="inlineStr">
        <is>
          <t>324</t>
        </is>
      </c>
      <c r="L56" s="2" t="inlineStr"/>
      <c r="M56" s="4">
        <f>IF(AND(ISNUMBER(G56),G56&gt;0),LOG10(G56),"")</f>
        <v/>
      </c>
      <c r="N56" s="4">
        <f>IF(AND(ISNUMBER(G56),ISNUMBER(H56),G56&gt;0,H56&gt;0),LN(G56/H56),"")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Supplementary Table S1 for: Peer-Conditioned Cross-Modal Consistency Scoring for ESG Disclosure Verification (Krishna and Ahamad).</t>
        </is>
      </c>
    </row>
    <row r="2">
      <c r="A2" t="inlineStr">
        <is>
          <t>Scope 1+2 totals are as printed in the BRSR Principle 6 emissions table of each filing. Blank cells mean the filing gave no value; nothing was estimated.</t>
        </is>
      </c>
    </row>
    <row r="3">
      <c r="A3" t="inlineStr">
        <is>
          <t>Pilot (38) rows hold totals only (from the audited claim-level dataset); the location column is copied from that dataset and is a page number for some companies and a section name for others.</t>
        </is>
      </c>
    </row>
    <row r="4">
      <c r="A4" t="inlineStr">
        <is>
          <t>Extended (17) rows give the source PDF name and printed page index from text extraction (pdftotext page order, which may differ from the printed page number).</t>
        </is>
      </c>
    </row>
    <row r="5">
      <c r="A5" t="inlineStr">
        <is>
          <t>Two filings could not be used (no readable emissions table; figures reported as not applicable). One company has no previous-year Scope 2 value.</t>
        </is>
      </c>
    </row>
    <row r="6">
      <c r="A6" t="inlineStr">
        <is>
          <t>Extraction caveats (unit plausibility, missing prior-year values, file-name mismatches) are stated in the Note column; values are kept as extracted and were not corrected.</t>
        </is>
      </c>
    </row>
    <row r="7">
      <c r="A7" t="inlineStr">
        <is>
          <t>Several local file names in the data folder do not match the company inside (PAM_ = L&amp;T, kavinavora_ = Reliance, SAKSHIKAPUR_ = Tata Steel, Thanos_ = SBI Life).</t>
        </is>
      </c>
    </row>
    <row r="8">
      <c r="A8" t="inlineStr">
        <is>
          <t>Columns M and N are formulas: log10 of the current total and ln(current/previous), as used in Section 8 of the paper.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2026-10-13T18:29:07Z</dcterms:created>
  <dcterms:modified xmlns:dcterms="http://purl.org/dc/terms/" xmlns:xsi="http://www.w3.org/2001/XMLSchema-instance" xsi:type="dcterms:W3CDTF">2026-10-13T18:29:07Z</dcterms:modified>
</cp:coreProperties>
</file>